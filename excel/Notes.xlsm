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ethandonoho/Desktop/bootcamp/"/>
    </mc:Choice>
  </mc:AlternateContent>
  <xr:revisionPtr revIDLastSave="0" documentId="13_ncr:1_{8BD71AA9-0730-BF43-B4D5-EC12DBCD71AD}" xr6:coauthVersionLast="47" xr6:coauthVersionMax="47" xr10:uidLastSave="{00000000-0000-0000-0000-000000000000}"/>
  <bookViews>
    <workbookView xWindow="700" yWindow="1180" windowWidth="27640" windowHeight="16440" activeTab="1" xr2:uid="{6D719F77-8780-D548-95B4-0C2FA4FBD742}"/>
  </bookViews>
  <sheets>
    <sheet name="Excel Notes" sheetId="1" r:id="rId1"/>
    <sheet name="VBA Notes" sheetId="2" r:id="rId2"/>
  </sheets>
  <externalReferences>
    <externalReference r:id="rId3"/>
  </externalReferences>
  <definedNames>
    <definedName name="List">'Excel Notes'!$C:$C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0" i="1" l="1"/>
  <c r="C200" i="1"/>
  <c r="D199" i="1"/>
  <c r="C199" i="1"/>
  <c r="D198" i="1"/>
  <c r="C198" i="1"/>
  <c r="D197" i="1"/>
  <c r="C197" i="1"/>
  <c r="D196" i="1"/>
  <c r="C196" i="1"/>
  <c r="D195" i="1"/>
  <c r="C195" i="1"/>
  <c r="D194" i="1"/>
  <c r="C194" i="1"/>
  <c r="D193" i="1"/>
  <c r="C193" i="1"/>
  <c r="D192" i="1"/>
  <c r="C192" i="1"/>
  <c r="D191" i="1"/>
  <c r="C191" i="1"/>
  <c r="D190" i="1"/>
  <c r="C190" i="1"/>
  <c r="D189" i="1"/>
  <c r="C189" i="1"/>
  <c r="D188" i="1"/>
  <c r="C188" i="1"/>
  <c r="D187" i="1"/>
  <c r="C187" i="1"/>
  <c r="D186" i="1"/>
  <c r="C186" i="1"/>
  <c r="D185" i="1"/>
  <c r="C185" i="1"/>
  <c r="D184" i="1"/>
  <c r="C184" i="1"/>
  <c r="D183" i="1"/>
  <c r="C183" i="1"/>
  <c r="D182" i="1"/>
  <c r="C182" i="1"/>
  <c r="D181" i="1"/>
  <c r="C181" i="1"/>
  <c r="D180" i="1"/>
  <c r="C180" i="1"/>
  <c r="D179" i="1"/>
  <c r="C179" i="1"/>
  <c r="D178" i="1"/>
  <c r="C178" i="1"/>
  <c r="D177" i="1"/>
  <c r="C177" i="1"/>
  <c r="D176" i="1"/>
  <c r="C176" i="1"/>
  <c r="D175" i="1"/>
  <c r="C175" i="1"/>
  <c r="D174" i="1"/>
  <c r="C174" i="1"/>
  <c r="D173" i="1"/>
  <c r="C173" i="1"/>
  <c r="D172" i="1"/>
  <c r="C172" i="1"/>
  <c r="D171" i="1"/>
  <c r="C171" i="1"/>
  <c r="D170" i="1"/>
  <c r="C170" i="1"/>
  <c r="D169" i="1"/>
  <c r="C169" i="1"/>
  <c r="D168" i="1"/>
  <c r="C168" i="1"/>
  <c r="D167" i="1"/>
  <c r="C167" i="1"/>
  <c r="D166" i="1"/>
  <c r="C166" i="1"/>
  <c r="D165" i="1"/>
  <c r="C165" i="1"/>
  <c r="D164" i="1"/>
  <c r="C164" i="1"/>
  <c r="D163" i="1"/>
  <c r="C163" i="1"/>
  <c r="D162" i="1"/>
  <c r="C162" i="1"/>
  <c r="D161" i="1"/>
  <c r="C161" i="1"/>
  <c r="D160" i="1"/>
  <c r="C160" i="1"/>
  <c r="D159" i="1"/>
  <c r="C159" i="1"/>
  <c r="D158" i="1"/>
  <c r="C158" i="1"/>
  <c r="D157" i="1"/>
  <c r="C157" i="1"/>
  <c r="D156" i="1"/>
  <c r="C156" i="1"/>
  <c r="D155" i="1"/>
  <c r="C155" i="1"/>
  <c r="D154" i="1"/>
  <c r="C154" i="1"/>
  <c r="D153" i="1"/>
  <c r="C153" i="1"/>
  <c r="D152" i="1"/>
  <c r="C152" i="1"/>
  <c r="D151" i="1"/>
  <c r="C151" i="1"/>
  <c r="D150" i="1"/>
  <c r="C150" i="1"/>
  <c r="D149" i="1"/>
  <c r="C149" i="1"/>
  <c r="D148" i="1"/>
  <c r="C148" i="1"/>
  <c r="D147" i="1"/>
  <c r="C147" i="1"/>
  <c r="D146" i="1"/>
  <c r="C146" i="1"/>
  <c r="D145" i="1"/>
  <c r="C145" i="1"/>
  <c r="D144" i="1"/>
  <c r="C144" i="1"/>
  <c r="D143" i="1"/>
  <c r="C143" i="1"/>
  <c r="D142" i="1"/>
  <c r="C142" i="1"/>
  <c r="D141" i="1"/>
  <c r="C141" i="1"/>
  <c r="D140" i="1"/>
  <c r="C140" i="1"/>
  <c r="D139" i="1"/>
  <c r="C139" i="1"/>
  <c r="D138" i="1"/>
  <c r="C138" i="1"/>
  <c r="D137" i="1"/>
  <c r="C137" i="1"/>
  <c r="D136" i="1"/>
  <c r="C136" i="1"/>
  <c r="D135" i="1"/>
  <c r="C135" i="1"/>
  <c r="D134" i="1"/>
  <c r="C134" i="1"/>
  <c r="D133" i="1"/>
  <c r="C133" i="1"/>
  <c r="D132" i="1"/>
  <c r="C132" i="1"/>
  <c r="D131" i="1"/>
  <c r="C131" i="1"/>
  <c r="D130" i="1"/>
  <c r="C130" i="1"/>
  <c r="D129" i="1"/>
  <c r="C129" i="1"/>
  <c r="D128" i="1"/>
  <c r="C128" i="1"/>
  <c r="D127" i="1"/>
  <c r="C127" i="1"/>
  <c r="D126" i="1"/>
  <c r="C126" i="1"/>
  <c r="D125" i="1"/>
  <c r="C125" i="1"/>
  <c r="D124" i="1"/>
  <c r="C124" i="1"/>
  <c r="D123" i="1"/>
  <c r="C123" i="1"/>
  <c r="D122" i="1"/>
  <c r="C122" i="1"/>
  <c r="D121" i="1"/>
  <c r="C121" i="1"/>
  <c r="D120" i="1"/>
  <c r="C120" i="1"/>
  <c r="D119" i="1"/>
  <c r="C119" i="1"/>
  <c r="D118" i="1"/>
  <c r="C118" i="1"/>
  <c r="D117" i="1"/>
  <c r="C117" i="1"/>
  <c r="D116" i="1"/>
  <c r="C116" i="1"/>
  <c r="D115" i="1"/>
  <c r="C115" i="1"/>
  <c r="D114" i="1"/>
  <c r="C114" i="1"/>
  <c r="D113" i="1"/>
  <c r="C113" i="1"/>
  <c r="D112" i="1"/>
  <c r="C112" i="1"/>
  <c r="D111" i="1"/>
  <c r="C111" i="1"/>
  <c r="D110" i="1"/>
  <c r="C110" i="1"/>
  <c r="D109" i="1"/>
  <c r="C109" i="1"/>
  <c r="D108" i="1"/>
  <c r="C108" i="1"/>
  <c r="D107" i="1"/>
  <c r="C107" i="1"/>
  <c r="D106" i="1"/>
  <c r="C106" i="1"/>
  <c r="D105" i="1"/>
  <c r="C105" i="1"/>
  <c r="D104" i="1"/>
  <c r="C104" i="1"/>
  <c r="D103" i="1"/>
  <c r="C103" i="1"/>
  <c r="D102" i="1"/>
  <c r="C102" i="1"/>
  <c r="D101" i="1"/>
  <c r="C101" i="1"/>
  <c r="D100" i="1"/>
  <c r="C100" i="1"/>
  <c r="D99" i="1"/>
  <c r="C99" i="1"/>
  <c r="D98" i="1"/>
  <c r="C98" i="1"/>
  <c r="D97" i="1"/>
  <c r="C97" i="1"/>
  <c r="D96" i="1"/>
  <c r="C96" i="1"/>
  <c r="D95" i="1"/>
  <c r="C95" i="1"/>
  <c r="D94" i="1"/>
  <c r="C94" i="1"/>
  <c r="D93" i="1"/>
  <c r="C93" i="1"/>
  <c r="D92" i="1"/>
  <c r="C92" i="1"/>
  <c r="D91" i="1"/>
  <c r="C91" i="1"/>
  <c r="D90" i="1"/>
  <c r="C90" i="1"/>
  <c r="D89" i="1"/>
  <c r="C89" i="1"/>
  <c r="D88" i="1"/>
  <c r="C88" i="1"/>
  <c r="D87" i="1"/>
  <c r="C87" i="1"/>
  <c r="D86" i="1"/>
  <c r="C86" i="1"/>
  <c r="D85" i="1"/>
  <c r="C85" i="1"/>
  <c r="D84" i="1"/>
  <c r="C84" i="1"/>
  <c r="D83" i="1"/>
  <c r="C83" i="1"/>
  <c r="D82" i="1"/>
  <c r="C82" i="1"/>
  <c r="D81" i="1"/>
  <c r="C81" i="1"/>
  <c r="D80" i="1"/>
  <c r="C80" i="1"/>
  <c r="D79" i="1"/>
  <c r="C79" i="1"/>
  <c r="D78" i="1"/>
  <c r="C78" i="1"/>
  <c r="D77" i="1"/>
  <c r="C77" i="1"/>
  <c r="D76" i="1"/>
  <c r="C76" i="1"/>
  <c r="D75" i="1"/>
  <c r="C75" i="1"/>
  <c r="D74" i="1"/>
  <c r="C74" i="1"/>
  <c r="D73" i="1"/>
  <c r="C73" i="1"/>
  <c r="D72" i="1"/>
  <c r="C72" i="1"/>
  <c r="D71" i="1"/>
  <c r="C71" i="1"/>
  <c r="D70" i="1"/>
  <c r="C70" i="1"/>
  <c r="D69" i="1"/>
  <c r="C69" i="1"/>
  <c r="D68" i="1"/>
  <c r="C68" i="1"/>
  <c r="D67" i="1"/>
  <c r="C67" i="1"/>
  <c r="D66" i="1"/>
  <c r="C66" i="1"/>
  <c r="D65" i="1"/>
  <c r="C65" i="1"/>
  <c r="D64" i="1"/>
  <c r="C64" i="1"/>
  <c r="D63" i="1"/>
  <c r="C63" i="1"/>
  <c r="D62" i="1"/>
  <c r="C62" i="1"/>
  <c r="D61" i="1"/>
  <c r="C61" i="1"/>
  <c r="D60" i="1"/>
  <c r="C60" i="1"/>
  <c r="D59" i="1"/>
  <c r="C59" i="1"/>
  <c r="D58" i="1"/>
  <c r="C58" i="1"/>
  <c r="D57" i="1"/>
  <c r="C57" i="1"/>
  <c r="D56" i="1"/>
  <c r="C56" i="1"/>
  <c r="D55" i="1"/>
  <c r="C55" i="1"/>
  <c r="D54" i="1"/>
  <c r="C54" i="1"/>
  <c r="D53" i="1"/>
  <c r="C53" i="1"/>
  <c r="D52" i="1"/>
  <c r="C52" i="1"/>
  <c r="D51" i="1"/>
  <c r="C51" i="1"/>
  <c r="D50" i="1"/>
  <c r="C50" i="1"/>
  <c r="D49" i="1"/>
  <c r="C49" i="1"/>
  <c r="D48" i="1"/>
  <c r="C48" i="1"/>
  <c r="D47" i="1"/>
  <c r="C47" i="1"/>
  <c r="D46" i="1"/>
  <c r="C46" i="1"/>
  <c r="D45" i="1"/>
  <c r="C45" i="1"/>
  <c r="G44" i="1"/>
  <c r="D44" i="1"/>
  <c r="C44" i="1"/>
  <c r="D43" i="1"/>
  <c r="C43" i="1"/>
  <c r="D42" i="1"/>
  <c r="C42" i="1"/>
  <c r="D41" i="1"/>
  <c r="C41" i="1"/>
  <c r="D40" i="1"/>
  <c r="C40" i="1"/>
  <c r="C7" i="1"/>
  <c r="C2" i="1"/>
  <c r="C3" i="1"/>
  <c r="C4" i="1"/>
  <c r="C5" i="1"/>
  <c r="C6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D7" i="1"/>
  <c r="G39" i="1" a="1"/>
  <c r="G39" i="1"/>
  <c r="D39" i="1"/>
  <c r="D38" i="1"/>
  <c r="D37" i="1"/>
  <c r="G36" i="1"/>
  <c r="D36" i="1"/>
  <c r="D35" i="1"/>
  <c r="D34" i="1"/>
  <c r="D33" i="1"/>
  <c r="D32" i="1"/>
  <c r="D5" i="1"/>
  <c r="D21" i="1"/>
  <c r="D28" i="1"/>
  <c r="D13" i="1"/>
  <c r="D22" i="1"/>
  <c r="G31" i="1"/>
  <c r="D31" i="1"/>
  <c r="D30" i="1"/>
  <c r="D29" i="1"/>
  <c r="G27" i="1"/>
  <c r="D27" i="1"/>
  <c r="D26" i="1"/>
  <c r="D25" i="1"/>
  <c r="D24" i="1"/>
  <c r="D23" i="1"/>
  <c r="G22" i="1"/>
  <c r="D20" i="1"/>
  <c r="G2" i="1"/>
  <c r="G3" i="1"/>
  <c r="G19" i="1"/>
  <c r="D19" i="1"/>
  <c r="G18" i="1"/>
  <c r="D18" i="1"/>
  <c r="D17" i="1"/>
  <c r="G16" i="1"/>
  <c r="D16" i="1"/>
  <c r="G15" i="1"/>
  <c r="D15" i="1"/>
  <c r="G14" i="1"/>
  <c r="D14" i="1"/>
  <c r="G13" i="1"/>
  <c r="G12" i="1"/>
  <c r="D12" i="1"/>
  <c r="D11" i="1"/>
  <c r="D10" i="1"/>
  <c r="D9" i="1"/>
  <c r="D8" i="1"/>
  <c r="G7" i="1" a="1"/>
  <c r="G7" i="1"/>
  <c r="G6" i="1"/>
  <c r="D6" i="1"/>
  <c r="G5" i="1"/>
  <c r="G4" i="1"/>
  <c r="D4" i="1"/>
  <c r="D3" i="1"/>
  <c r="D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<sst xmlns="http://schemas.openxmlformats.org/spreadsheetml/2006/main" count="60" uniqueCount="60">
  <si>
    <t>AGE</t>
  </si>
  <si>
    <t>HEIGHT</t>
  </si>
  <si>
    <t>List:</t>
  </si>
  <si>
    <t>Average</t>
  </si>
  <si>
    <t>Naming Cells</t>
  </si>
  <si>
    <t>Shortcuts</t>
  </si>
  <si>
    <t>Median</t>
  </si>
  <si>
    <t xml:space="preserve">     Can label a series of cells like we did in column C for easier reference</t>
  </si>
  <si>
    <t>cmd + arrow</t>
  </si>
  <si>
    <t>Sum</t>
  </si>
  <si>
    <t xml:space="preserve">     Highlight cells and rename in top left </t>
  </si>
  <si>
    <t>move all the way to given direction</t>
  </si>
  <si>
    <t>Count</t>
  </si>
  <si>
    <t xml:space="preserve">     Edit names in Formulas -&gt; Name Manager</t>
  </si>
  <si>
    <t>cmd + shift + arrow</t>
  </si>
  <si>
    <t>Mode (Single)</t>
  </si>
  <si>
    <t>highlights all cells in given direction</t>
  </si>
  <si>
    <t>Mode (Multiple)</t>
  </si>
  <si>
    <t>Pivot Tables</t>
  </si>
  <si>
    <t>double click column</t>
  </si>
  <si>
    <t xml:space="preserve">     Example - Open "top_5000_songs"</t>
  </si>
  <si>
    <t xml:space="preserve">adjusts column width </t>
  </si>
  <si>
    <t>cmd + D</t>
  </si>
  <si>
    <t>Drags formula to all highlighted squares</t>
  </si>
  <si>
    <t>$</t>
  </si>
  <si>
    <t>Quartile</t>
  </si>
  <si>
    <t>Locks value after $ ex($C15 makes C never change)</t>
  </si>
  <si>
    <t>Var.P (Population)</t>
  </si>
  <si>
    <t>Var.S (Sample)</t>
  </si>
  <si>
    <t>Std Var (Population)</t>
  </si>
  <si>
    <t>Std Var (Sample)</t>
  </si>
  <si>
    <t xml:space="preserve">If </t>
  </si>
  <si>
    <t>If And</t>
  </si>
  <si>
    <t>Example - Open "Student Grades"</t>
  </si>
  <si>
    <t>VLookup</t>
  </si>
  <si>
    <t>Locates first Row with age 42</t>
  </si>
  <si>
    <t>Outputs Height of that row</t>
  </si>
  <si>
    <t>(ref num, array to search, col to output, T=approx F=exact)</t>
  </si>
  <si>
    <t>HLookup</t>
  </si>
  <si>
    <t>Locates the height of the 8th row</t>
  </si>
  <si>
    <t>(column name, array to search, row index, T=approx F=exact)</t>
  </si>
  <si>
    <t>XLookup</t>
  </si>
  <si>
    <t>Locates first Row with Age 42</t>
  </si>
  <si>
    <t>Outputs Height of Row</t>
  </si>
  <si>
    <t>(ref num, lookup column, output column, message if not found, , ,)</t>
  </si>
  <si>
    <t>Match</t>
  </si>
  <si>
    <t>Locates row index of the reference cell</t>
  </si>
  <si>
    <t>Index</t>
  </si>
  <si>
    <t>Outputs full row referenced</t>
  </si>
  <si>
    <t xml:space="preserve">Combine with match </t>
  </si>
  <si>
    <t>Formatting</t>
  </si>
  <si>
    <t>Home -&gt; Format -&gt; Format Cells</t>
  </si>
  <si>
    <t>Green</t>
  </si>
  <si>
    <t>Yellow</t>
  </si>
  <si>
    <t>Red</t>
  </si>
  <si>
    <t>Home -&gt; Conditional Formatting -&gt; New Rule / Edit Rules</t>
  </si>
  <si>
    <t>Cells</t>
  </si>
  <si>
    <t>Range 1</t>
  </si>
  <si>
    <t>Range 2</t>
  </si>
  <si>
    <t>Open  VBA_Challenge for best examples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</si>
</sst>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u/>
      <sz val="12"/>
      <color theme="1"/>
      <name val="Calibri (Body)"/>
    </font>
    <font>
      <sz val="15"/>
      <name val="Aptos Narrow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0" xfId="0" applyFont="1"/>
    <xf numFmtId="0" fontId="2" fillId="0" borderId="0" xfId="0" applyFont="1"/>
    <xf numFmtId="0" fontId="0" fillId="0" borderId="0" xfId="0"/>
    <xf numFmtId="0" fontId="0" fillId="0" borderId="0" xfId="0" applyAlignment="1">
      <alignment horizontal="center"/>
    </xf>
    <xf numFmtId="10" fontId="0" fillId="0" borderId="0" xfId="0" applyNumberFormat="1"/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alcChain" Target="calcChain.xml"/><Relationship Id="rId5" Type="http://schemas.openxmlformats.org/officeDocument/2006/relationships/styles" Target="styles.xml"/><Relationship Id="rId10" Type="http://schemas.microsoft.com/office/2017/06/relationships/rdRichValueTypes" Target="richData/rdRichValueTypes.xml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</xdr:row>
          <xdr:rowOff>25400</xdr:rowOff>
        </xdr:from>
        <xdr:to>
          <xdr:col>6</xdr:col>
          <xdr:colOff>711200</xdr:colOff>
          <xdr:row>4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AA4ED95C-64ED-A9B6-9173-9A72CB6643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Aptos Narrow" charset="0"/>
                </a:rPr>
                <a:t>Notes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5</xdr:row>
          <xdr:rowOff>12700</xdr:rowOff>
        </xdr:from>
        <xdr:to>
          <xdr:col>6</xdr:col>
          <xdr:colOff>711200</xdr:colOff>
          <xdr:row>6</xdr:row>
          <xdr:rowOff>190500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4854A715-2F30-6D35-5063-5AD4BF2BB9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thandonoho/Desktop/bootcamp/Copy%20of%20Excel_Notes.xlsm" TargetMode="External"/><Relationship Id="rId1" Type="http://schemas.openxmlformats.org/officeDocument/2006/relationships/externalLinkPath" Target="Copy%20of%20Excel_No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cel Notes"/>
      <sheetName val="VBA Notes"/>
    </sheetNames>
    <definedNames>
      <definedName name="Notes"/>
      <definedName name="Reset"/>
    </definedNames>
    <sheetDataSet>
      <sheetData sheetId="0"/>
      <sheetData sheetId="1"/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1</v>
    <v>2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D6D3C-20E1-6244-B2D2-2ED104CEC5FE}">
  <sheetPr codeName="Sheet1"/>
  <dimension ref="B1:P200"/>
  <sheetViews>
    <sheetView workbookViewId="0">
      <selection activeCell="B11" sqref="B11"/>
    </sheetView>
  </sheetViews>
  <sheetFormatPr baseColWidth="10" defaultRowHeight="16" x14ac:dyDescent="0.2"/>
  <cols>
    <col min="4" max="4" width="10.6640625" customWidth="1"/>
    <col min="6" max="6" width="17.83203125" bestFit="1" customWidth="1"/>
    <col min="7" max="7" width="14.1640625" bestFit="1" customWidth="1"/>
  </cols>
  <sheetData>
    <row r="1" spans="2:16" x14ac:dyDescent="0.2">
      <c r="C1" t="s">
        <v>0</v>
      </c>
      <c r="D1" t="s">
        <v>1</v>
      </c>
    </row>
    <row r="2" spans="2:16" x14ac:dyDescent="0.2">
      <c r="B2" t="s">
        <v>2</v>
      </c>
      <c r="C2">
        <f ca="1">RANDBETWEEN(0, 100)</f>
        <v>41</v>
      </c>
      <c r="D2">
        <f ca="1">RANDBETWEEN(54, 68)</f>
        <v>54</v>
      </c>
      <c r="F2" s="1" t="s">
        <v>3</v>
      </c>
      <c r="G2">
        <f ca="1">AVERAGE(List)</f>
        <v>49.201005025125632</v>
      </c>
      <c r="I2" s="2" t="s">
        <v>4</v>
      </c>
      <c r="J2" s="2"/>
      <c r="K2" s="2"/>
      <c r="L2" s="2"/>
      <c r="M2" s="2"/>
      <c r="N2" s="2"/>
      <c r="O2" s="1"/>
      <c r="P2" s="3" t="s">
        <v>5</v>
      </c>
    </row>
    <row r="3" spans="2:16" x14ac:dyDescent="0.2">
      <c r="C3">
        <f t="shared" ref="C3:C66" ca="1" si="0">RANDBETWEEN(0, 100)</f>
        <v>53</v>
      </c>
      <c r="D3">
        <f t="shared" ref="D3:D66" ca="1" si="1">RANDBETWEEN(54, 68)</f>
        <v>61</v>
      </c>
      <c r="F3" s="1" t="s">
        <v>6</v>
      </c>
      <c r="G3">
        <f ca="1">MEDIAN(List)</f>
        <v>47</v>
      </c>
      <c r="I3" s="4" t="s">
        <v>7</v>
      </c>
      <c r="J3" s="4"/>
      <c r="K3" s="4"/>
      <c r="L3" s="4"/>
      <c r="M3" s="4"/>
      <c r="N3" s="4"/>
      <c r="P3" s="1" t="s">
        <v>8</v>
      </c>
    </row>
    <row r="4" spans="2:16" x14ac:dyDescent="0.2">
      <c r="C4">
        <f ca="1">RANDBETWEEN(0, 100)</f>
        <v>12</v>
      </c>
      <c r="D4">
        <f t="shared" ca="1" si="1"/>
        <v>58</v>
      </c>
      <c r="F4" s="1" t="s">
        <v>9</v>
      </c>
      <c r="G4">
        <f ca="1">SUM(List)</f>
        <v>9791</v>
      </c>
      <c r="I4" s="4" t="s">
        <v>10</v>
      </c>
      <c r="J4" s="4"/>
      <c r="K4" s="4"/>
      <c r="L4" s="4"/>
      <c r="M4" s="4"/>
      <c r="N4" s="4"/>
      <c r="P4" t="s">
        <v>11</v>
      </c>
    </row>
    <row r="5" spans="2:16" x14ac:dyDescent="0.2">
      <c r="C5">
        <f t="shared" ca="1" si="0"/>
        <v>64</v>
      </c>
      <c r="D5">
        <f t="shared" ca="1" si="1"/>
        <v>60</v>
      </c>
      <c r="F5" s="1" t="s">
        <v>12</v>
      </c>
      <c r="G5">
        <f ca="1">COUNT(List)</f>
        <v>199</v>
      </c>
      <c r="I5" s="4" t="s">
        <v>13</v>
      </c>
      <c r="J5" s="4"/>
      <c r="K5" s="4"/>
      <c r="L5" s="4"/>
      <c r="M5" s="4"/>
      <c r="N5" s="4"/>
      <c r="P5" s="1" t="s">
        <v>14</v>
      </c>
    </row>
    <row r="6" spans="2:16" x14ac:dyDescent="0.2">
      <c r="C6">
        <f t="shared" ca="1" si="0"/>
        <v>92</v>
      </c>
      <c r="D6">
        <f t="shared" ca="1" si="1"/>
        <v>67</v>
      </c>
      <c r="F6" s="1" t="s">
        <v>15</v>
      </c>
      <c r="G6">
        <f ca="1">_xlfn.MODE.SNGL(List)</f>
        <v>65</v>
      </c>
      <c r="I6" s="4"/>
      <c r="J6" s="4"/>
      <c r="K6" s="4"/>
      <c r="L6" s="4"/>
      <c r="M6" s="4"/>
      <c r="N6" s="4"/>
      <c r="P6" t="s">
        <v>16</v>
      </c>
    </row>
    <row r="7" spans="2:16" x14ac:dyDescent="0.2">
      <c r="C7">
        <f t="shared" ca="1" si="0"/>
        <v>3</v>
      </c>
      <c r="D7">
        <f t="shared" ca="1" si="1"/>
        <v>64</v>
      </c>
      <c r="F7" s="1" t="s">
        <v>17</v>
      </c>
      <c r="G7" t="e" cm="1" vm="1">
        <f t="array" aca="1" ref="G7" ca="1">_xlfn.MODE.MULT(List)</f>
        <v>#VALUE!</v>
      </c>
      <c r="I7" s="2" t="s">
        <v>18</v>
      </c>
      <c r="J7" s="2"/>
      <c r="K7" s="2"/>
      <c r="L7" s="2"/>
      <c r="M7" s="2"/>
      <c r="N7" s="2"/>
      <c r="P7" s="1" t="s">
        <v>19</v>
      </c>
    </row>
    <row r="8" spans="2:16" x14ac:dyDescent="0.2">
      <c r="C8">
        <f t="shared" ca="1" si="0"/>
        <v>55</v>
      </c>
      <c r="D8">
        <f t="shared" ca="1" si="1"/>
        <v>68</v>
      </c>
      <c r="I8" s="4" t="s">
        <v>20</v>
      </c>
      <c r="J8" s="4"/>
      <c r="K8" s="4"/>
      <c r="L8" s="4"/>
      <c r="M8" s="4"/>
      <c r="N8" s="4"/>
      <c r="P8" t="s">
        <v>21</v>
      </c>
    </row>
    <row r="9" spans="2:16" x14ac:dyDescent="0.2">
      <c r="C9">
        <f t="shared" ca="1" si="0"/>
        <v>17</v>
      </c>
      <c r="D9">
        <f t="shared" ca="1" si="1"/>
        <v>55</v>
      </c>
      <c r="P9" s="1" t="s">
        <v>22</v>
      </c>
    </row>
    <row r="10" spans="2:16" x14ac:dyDescent="0.2">
      <c r="C10">
        <f t="shared" ca="1" si="0"/>
        <v>28</v>
      </c>
      <c r="D10">
        <f t="shared" ca="1" si="1"/>
        <v>63</v>
      </c>
      <c r="P10" t="s">
        <v>23</v>
      </c>
    </row>
    <row r="11" spans="2:16" x14ac:dyDescent="0.2">
      <c r="C11">
        <f t="shared" ca="1" si="0"/>
        <v>30</v>
      </c>
      <c r="D11">
        <f t="shared" ca="1" si="1"/>
        <v>66</v>
      </c>
      <c r="P11" s="1" t="s">
        <v>24</v>
      </c>
    </row>
    <row r="12" spans="2:16" x14ac:dyDescent="0.2">
      <c r="C12">
        <f t="shared" ca="1" si="0"/>
        <v>11</v>
      </c>
      <c r="D12">
        <f t="shared" ca="1" si="1"/>
        <v>65</v>
      </c>
      <c r="F12" s="1" t="s">
        <v>25</v>
      </c>
      <c r="G12">
        <f ca="1">_xlfn.QUARTILE.EXC(List, 1)</f>
        <v>25</v>
      </c>
      <c r="P12" t="s">
        <v>26</v>
      </c>
    </row>
    <row r="13" spans="2:16" x14ac:dyDescent="0.2">
      <c r="C13">
        <f t="shared" ca="1" si="0"/>
        <v>6</v>
      </c>
      <c r="D13">
        <f t="shared" ca="1" si="1"/>
        <v>61</v>
      </c>
      <c r="F13" s="1" t="s">
        <v>27</v>
      </c>
      <c r="G13">
        <f ca="1">_xlfn.VAR.P(List)</f>
        <v>774.53246130148227</v>
      </c>
    </row>
    <row r="14" spans="2:16" x14ac:dyDescent="0.2">
      <c r="C14">
        <f t="shared" ca="1" si="0"/>
        <v>91</v>
      </c>
      <c r="D14">
        <f t="shared" ca="1" si="1"/>
        <v>67</v>
      </c>
      <c r="F14" s="1" t="s">
        <v>28</v>
      </c>
      <c r="G14">
        <f ca="1">_xlfn.VAR.S(List)</f>
        <v>778.44424140906563</v>
      </c>
    </row>
    <row r="15" spans="2:16" x14ac:dyDescent="0.2">
      <c r="C15">
        <f t="shared" ca="1" si="0"/>
        <v>30</v>
      </c>
      <c r="D15">
        <f t="shared" ca="1" si="1"/>
        <v>65</v>
      </c>
      <c r="F15" s="1" t="s">
        <v>29</v>
      </c>
      <c r="G15">
        <f ca="1">_xlfn.STDEV.P(List)</f>
        <v>27.830423304389072</v>
      </c>
    </row>
    <row r="16" spans="2:16" x14ac:dyDescent="0.2">
      <c r="C16">
        <f t="shared" ca="1" si="0"/>
        <v>90</v>
      </c>
      <c r="D16">
        <f t="shared" ca="1" si="1"/>
        <v>55</v>
      </c>
      <c r="F16" s="1" t="s">
        <v>30</v>
      </c>
      <c r="G16">
        <f ca="1">_xlfn.STDEV.S(List)</f>
        <v>27.900613638575507</v>
      </c>
    </row>
    <row r="17" spans="3:9" x14ac:dyDescent="0.2">
      <c r="C17">
        <f t="shared" ca="1" si="0"/>
        <v>78</v>
      </c>
      <c r="D17">
        <f t="shared" ca="1" si="1"/>
        <v>60</v>
      </c>
    </row>
    <row r="18" spans="3:9" x14ac:dyDescent="0.2">
      <c r="C18">
        <f t="shared" ca="1" si="0"/>
        <v>68</v>
      </c>
      <c r="D18">
        <f t="shared" ca="1" si="1"/>
        <v>65</v>
      </c>
      <c r="F18" s="1" t="s">
        <v>31</v>
      </c>
      <c r="G18" t="str">
        <f ca="1">IF(G2 &lt; 50, "Below Expected", "Above Expected")</f>
        <v>Below Expected</v>
      </c>
    </row>
    <row r="19" spans="3:9" x14ac:dyDescent="0.2">
      <c r="C19">
        <f t="shared" ca="1" si="0"/>
        <v>39</v>
      </c>
      <c r="D19">
        <f t="shared" ca="1" si="1"/>
        <v>66</v>
      </c>
      <c r="F19" s="1" t="s">
        <v>32</v>
      </c>
      <c r="G19" t="str">
        <f ca="1">IF(AND(G2&lt;50, G3&lt;G2), "Skewed Left", "Skewed Right")</f>
        <v>Skewed Left</v>
      </c>
    </row>
    <row r="20" spans="3:9" x14ac:dyDescent="0.2">
      <c r="C20">
        <f t="shared" ca="1" si="0"/>
        <v>23</v>
      </c>
      <c r="D20">
        <f t="shared" ca="1" si="1"/>
        <v>56</v>
      </c>
      <c r="F20" s="5" t="s">
        <v>33</v>
      </c>
      <c r="G20" s="5"/>
      <c r="H20" s="5"/>
      <c r="I20" s="5"/>
    </row>
    <row r="21" spans="3:9" x14ac:dyDescent="0.2">
      <c r="C21">
        <f t="shared" ca="1" si="0"/>
        <v>43</v>
      </c>
      <c r="D21">
        <f t="shared" ca="1" si="1"/>
        <v>66</v>
      </c>
    </row>
    <row r="22" spans="3:9" x14ac:dyDescent="0.2">
      <c r="C22">
        <f t="shared" ca="1" si="0"/>
        <v>42</v>
      </c>
      <c r="D22">
        <f t="shared" ca="1" si="1"/>
        <v>68</v>
      </c>
      <c r="F22" s="1" t="s">
        <v>34</v>
      </c>
      <c r="G22">
        <f ca="1">VLOOKUP(42, C2:D200, 2, FALSE)</f>
        <v>68</v>
      </c>
    </row>
    <row r="23" spans="3:9" x14ac:dyDescent="0.2">
      <c r="C23">
        <f t="shared" ca="1" si="0"/>
        <v>81</v>
      </c>
      <c r="D23">
        <f t="shared" ca="1" si="1"/>
        <v>62</v>
      </c>
      <c r="F23" s="5" t="s">
        <v>35</v>
      </c>
      <c r="G23" s="5"/>
      <c r="H23" s="5"/>
      <c r="I23" s="5"/>
    </row>
    <row r="24" spans="3:9" x14ac:dyDescent="0.2">
      <c r="C24">
        <f t="shared" ca="1" si="0"/>
        <v>31</v>
      </c>
      <c r="D24">
        <f t="shared" ca="1" si="1"/>
        <v>56</v>
      </c>
      <c r="F24" s="5" t="s">
        <v>36</v>
      </c>
      <c r="G24" s="5"/>
      <c r="H24" s="5"/>
      <c r="I24" s="5"/>
    </row>
    <row r="25" spans="3:9" x14ac:dyDescent="0.2">
      <c r="C25">
        <f t="shared" ca="1" si="0"/>
        <v>98</v>
      </c>
      <c r="D25">
        <f t="shared" ca="1" si="1"/>
        <v>67</v>
      </c>
      <c r="F25" s="5" t="s">
        <v>37</v>
      </c>
      <c r="G25" s="5"/>
      <c r="H25" s="5"/>
      <c r="I25" s="5"/>
    </row>
    <row r="26" spans="3:9" x14ac:dyDescent="0.2">
      <c r="C26">
        <f t="shared" ca="1" si="0"/>
        <v>17</v>
      </c>
      <c r="D26">
        <f t="shared" ca="1" si="1"/>
        <v>60</v>
      </c>
    </row>
    <row r="27" spans="3:9" x14ac:dyDescent="0.2">
      <c r="C27">
        <f t="shared" ca="1" si="0"/>
        <v>37</v>
      </c>
      <c r="D27">
        <f t="shared" ca="1" si="1"/>
        <v>65</v>
      </c>
      <c r="F27" s="1" t="s">
        <v>38</v>
      </c>
      <c r="G27">
        <f ca="1">HLOOKUP(D1, C1:D200, 7, FALSE)</f>
        <v>64</v>
      </c>
    </row>
    <row r="28" spans="3:9" x14ac:dyDescent="0.2">
      <c r="C28">
        <f t="shared" ca="1" si="0"/>
        <v>18</v>
      </c>
      <c r="D28">
        <f t="shared" ca="1" si="1"/>
        <v>60</v>
      </c>
      <c r="F28" s="5" t="s">
        <v>39</v>
      </c>
      <c r="G28" s="5"/>
      <c r="H28" s="5"/>
      <c r="I28" s="5"/>
    </row>
    <row r="29" spans="3:9" x14ac:dyDescent="0.2">
      <c r="C29">
        <f t="shared" ca="1" si="0"/>
        <v>91</v>
      </c>
      <c r="D29">
        <f t="shared" ca="1" si="1"/>
        <v>55</v>
      </c>
      <c r="F29" s="5" t="s">
        <v>40</v>
      </c>
      <c r="G29" s="5"/>
      <c r="H29" s="5"/>
      <c r="I29" s="5"/>
    </row>
    <row r="30" spans="3:9" x14ac:dyDescent="0.2">
      <c r="C30">
        <f t="shared" ca="1" si="0"/>
        <v>67</v>
      </c>
      <c r="D30">
        <f t="shared" ca="1" si="1"/>
        <v>65</v>
      </c>
    </row>
    <row r="31" spans="3:9" x14ac:dyDescent="0.2">
      <c r="C31">
        <f t="shared" ca="1" si="0"/>
        <v>18</v>
      </c>
      <c r="D31">
        <f t="shared" ca="1" si="1"/>
        <v>56</v>
      </c>
      <c r="F31" s="1" t="s">
        <v>41</v>
      </c>
      <c r="G31">
        <f ca="1">_xlfn.XLOOKUP(42, C1:C200, D1:D200, "NOT FOUND", 0, 1)</f>
        <v>68</v>
      </c>
    </row>
    <row r="32" spans="3:9" x14ac:dyDescent="0.2">
      <c r="C32">
        <f t="shared" ca="1" si="0"/>
        <v>68</v>
      </c>
      <c r="D32">
        <f t="shared" ca="1" si="1"/>
        <v>64</v>
      </c>
      <c r="F32" s="5" t="s">
        <v>42</v>
      </c>
      <c r="G32" s="5"/>
      <c r="H32" s="5"/>
      <c r="I32" s="5"/>
    </row>
    <row r="33" spans="3:9" x14ac:dyDescent="0.2">
      <c r="C33">
        <f t="shared" ca="1" si="0"/>
        <v>79</v>
      </c>
      <c r="D33">
        <f t="shared" ca="1" si="1"/>
        <v>65</v>
      </c>
      <c r="F33" s="5" t="s">
        <v>43</v>
      </c>
      <c r="G33" s="5"/>
      <c r="H33" s="5"/>
      <c r="I33" s="5"/>
    </row>
    <row r="34" spans="3:9" x14ac:dyDescent="0.2">
      <c r="C34">
        <f t="shared" ca="1" si="0"/>
        <v>66</v>
      </c>
      <c r="D34">
        <f t="shared" ca="1" si="1"/>
        <v>68</v>
      </c>
      <c r="F34" s="5" t="s">
        <v>44</v>
      </c>
      <c r="G34" s="5"/>
      <c r="H34" s="5"/>
      <c r="I34" s="5"/>
    </row>
    <row r="35" spans="3:9" x14ac:dyDescent="0.2">
      <c r="C35">
        <f t="shared" ca="1" si="0"/>
        <v>87</v>
      </c>
      <c r="D35">
        <f t="shared" ca="1" si="1"/>
        <v>66</v>
      </c>
    </row>
    <row r="36" spans="3:9" x14ac:dyDescent="0.2">
      <c r="C36">
        <f t="shared" ca="1" si="0"/>
        <v>72</v>
      </c>
      <c r="D36">
        <f t="shared" ca="1" si="1"/>
        <v>63</v>
      </c>
      <c r="F36" s="1" t="s">
        <v>45</v>
      </c>
      <c r="G36">
        <f ca="1">MATCH(C7, C2:C200, 0)</f>
        <v>6</v>
      </c>
    </row>
    <row r="37" spans="3:9" x14ac:dyDescent="0.2">
      <c r="C37">
        <f t="shared" ca="1" si="0"/>
        <v>90</v>
      </c>
      <c r="D37">
        <f t="shared" ca="1" si="1"/>
        <v>54</v>
      </c>
      <c r="F37" s="5" t="s">
        <v>46</v>
      </c>
      <c r="G37" s="5"/>
      <c r="H37" s="5"/>
      <c r="I37" s="5"/>
    </row>
    <row r="38" spans="3:9" x14ac:dyDescent="0.2">
      <c r="C38">
        <f t="shared" ca="1" si="0"/>
        <v>4</v>
      </c>
      <c r="D38">
        <f t="shared" ca="1" si="1"/>
        <v>63</v>
      </c>
    </row>
    <row r="39" spans="3:9" x14ac:dyDescent="0.2">
      <c r="C39">
        <f t="shared" ca="1" si="0"/>
        <v>95</v>
      </c>
      <c r="D39">
        <f t="shared" ca="1" si="1"/>
        <v>54</v>
      </c>
      <c r="F39" s="1" t="s">
        <v>47</v>
      </c>
      <c r="G39" cm="1">
        <f t="array" aca="1" ref="G39:H39" ca="1">INDEX(C2:D200, MATCH(C7, C2:C200, 0), 0)</f>
        <v>3</v>
      </c>
      <c r="H39">
        <f ca="1"/>
        <v>64</v>
      </c>
    </row>
    <row r="40" spans="3:9" x14ac:dyDescent="0.2">
      <c r="C40">
        <f t="shared" ca="1" si="0"/>
        <v>38</v>
      </c>
      <c r="D40">
        <f t="shared" ca="1" si="1"/>
        <v>54</v>
      </c>
      <c r="F40" s="5" t="s">
        <v>48</v>
      </c>
      <c r="G40" s="5"/>
      <c r="H40" s="5"/>
      <c r="I40" s="5"/>
    </row>
    <row r="41" spans="3:9" x14ac:dyDescent="0.2">
      <c r="C41">
        <f t="shared" ca="1" si="0"/>
        <v>57</v>
      </c>
      <c r="D41">
        <f t="shared" ca="1" si="1"/>
        <v>67</v>
      </c>
      <c r="F41" s="5" t="s">
        <v>49</v>
      </c>
      <c r="G41" s="5"/>
      <c r="H41" s="5"/>
      <c r="I41" s="5"/>
    </row>
    <row r="42" spans="3:9" x14ac:dyDescent="0.2">
      <c r="C42">
        <f t="shared" ca="1" si="0"/>
        <v>79</v>
      </c>
      <c r="D42">
        <f t="shared" ca="1" si="1"/>
        <v>67</v>
      </c>
    </row>
    <row r="43" spans="3:9" x14ac:dyDescent="0.2">
      <c r="C43">
        <f t="shared" ca="1" si="0"/>
        <v>72</v>
      </c>
      <c r="D43">
        <f t="shared" ca="1" si="1"/>
        <v>57</v>
      </c>
      <c r="F43" s="1" t="s">
        <v>50</v>
      </c>
    </row>
    <row r="44" spans="3:9" x14ac:dyDescent="0.2">
      <c r="C44">
        <f t="shared" ca="1" si="0"/>
        <v>59</v>
      </c>
      <c r="D44">
        <f t="shared" ca="1" si="1"/>
        <v>68</v>
      </c>
      <c r="F44">
        <v>0.42</v>
      </c>
      <c r="G44" s="6">
        <f>F44</f>
        <v>0.42</v>
      </c>
    </row>
    <row r="45" spans="3:9" x14ac:dyDescent="0.2">
      <c r="C45">
        <f t="shared" ca="1" si="0"/>
        <v>51</v>
      </c>
      <c r="D45">
        <f t="shared" ca="1" si="1"/>
        <v>58</v>
      </c>
      <c r="F45" s="5" t="s">
        <v>51</v>
      </c>
      <c r="G45" s="5"/>
      <c r="H45" s="5"/>
      <c r="I45" s="5"/>
    </row>
    <row r="46" spans="3:9" x14ac:dyDescent="0.2">
      <c r="C46">
        <f t="shared" ca="1" si="0"/>
        <v>87</v>
      </c>
      <c r="D46">
        <f t="shared" ca="1" si="1"/>
        <v>67</v>
      </c>
    </row>
    <row r="47" spans="3:9" x14ac:dyDescent="0.2">
      <c r="C47">
        <f t="shared" ca="1" si="0"/>
        <v>91</v>
      </c>
      <c r="D47">
        <f t="shared" ca="1" si="1"/>
        <v>63</v>
      </c>
      <c r="F47" t="s">
        <v>52</v>
      </c>
      <c r="G47" t="s">
        <v>53</v>
      </c>
      <c r="H47" t="s">
        <v>54</v>
      </c>
    </row>
    <row r="48" spans="3:9" x14ac:dyDescent="0.2">
      <c r="C48">
        <f t="shared" ca="1" si="0"/>
        <v>64</v>
      </c>
      <c r="D48">
        <f t="shared" ca="1" si="1"/>
        <v>61</v>
      </c>
      <c r="F48" s="5" t="s">
        <v>55</v>
      </c>
      <c r="G48" s="5"/>
      <c r="H48" s="5"/>
      <c r="I48" s="5"/>
    </row>
    <row r="49" spans="3:4" x14ac:dyDescent="0.2">
      <c r="C49">
        <f t="shared" ca="1" si="0"/>
        <v>7</v>
      </c>
      <c r="D49">
        <f t="shared" ca="1" si="1"/>
        <v>68</v>
      </c>
    </row>
    <row r="50" spans="3:4" x14ac:dyDescent="0.2">
      <c r="C50">
        <f t="shared" ca="1" si="0"/>
        <v>65</v>
      </c>
      <c r="D50">
        <f t="shared" ca="1" si="1"/>
        <v>56</v>
      </c>
    </row>
    <row r="51" spans="3:4" x14ac:dyDescent="0.2">
      <c r="C51">
        <f t="shared" ca="1" si="0"/>
        <v>22</v>
      </c>
      <c r="D51">
        <f t="shared" ca="1" si="1"/>
        <v>65</v>
      </c>
    </row>
    <row r="52" spans="3:4" x14ac:dyDescent="0.2">
      <c r="C52">
        <f t="shared" ca="1" si="0"/>
        <v>65</v>
      </c>
      <c r="D52">
        <f t="shared" ca="1" si="1"/>
        <v>68</v>
      </c>
    </row>
    <row r="53" spans="3:4" x14ac:dyDescent="0.2">
      <c r="C53">
        <f t="shared" ca="1" si="0"/>
        <v>42</v>
      </c>
      <c r="D53">
        <f t="shared" ca="1" si="1"/>
        <v>59</v>
      </c>
    </row>
    <row r="54" spans="3:4" x14ac:dyDescent="0.2">
      <c r="C54">
        <f t="shared" ca="1" si="0"/>
        <v>81</v>
      </c>
      <c r="D54">
        <f t="shared" ca="1" si="1"/>
        <v>55</v>
      </c>
    </row>
    <row r="55" spans="3:4" x14ac:dyDescent="0.2">
      <c r="C55">
        <f t="shared" ca="1" si="0"/>
        <v>68</v>
      </c>
      <c r="D55">
        <f t="shared" ca="1" si="1"/>
        <v>60</v>
      </c>
    </row>
    <row r="56" spans="3:4" x14ac:dyDescent="0.2">
      <c r="C56">
        <f t="shared" ca="1" si="0"/>
        <v>28</v>
      </c>
      <c r="D56">
        <f t="shared" ca="1" si="1"/>
        <v>67</v>
      </c>
    </row>
    <row r="57" spans="3:4" x14ac:dyDescent="0.2">
      <c r="C57">
        <f t="shared" ca="1" si="0"/>
        <v>43</v>
      </c>
      <c r="D57">
        <f t="shared" ca="1" si="1"/>
        <v>62</v>
      </c>
    </row>
    <row r="58" spans="3:4" x14ac:dyDescent="0.2">
      <c r="C58">
        <f t="shared" ca="1" si="0"/>
        <v>0</v>
      </c>
      <c r="D58">
        <f t="shared" ca="1" si="1"/>
        <v>55</v>
      </c>
    </row>
    <row r="59" spans="3:4" x14ac:dyDescent="0.2">
      <c r="C59">
        <f t="shared" ca="1" si="0"/>
        <v>60</v>
      </c>
      <c r="D59">
        <f t="shared" ca="1" si="1"/>
        <v>59</v>
      </c>
    </row>
    <row r="60" spans="3:4" x14ac:dyDescent="0.2">
      <c r="C60">
        <f t="shared" ca="1" si="0"/>
        <v>44</v>
      </c>
      <c r="D60">
        <f t="shared" ca="1" si="1"/>
        <v>60</v>
      </c>
    </row>
    <row r="61" spans="3:4" x14ac:dyDescent="0.2">
      <c r="C61">
        <f t="shared" ca="1" si="0"/>
        <v>78</v>
      </c>
      <c r="D61">
        <f t="shared" ca="1" si="1"/>
        <v>60</v>
      </c>
    </row>
    <row r="62" spans="3:4" x14ac:dyDescent="0.2">
      <c r="C62">
        <f t="shared" ca="1" si="0"/>
        <v>32</v>
      </c>
      <c r="D62">
        <f t="shared" ca="1" si="1"/>
        <v>67</v>
      </c>
    </row>
    <row r="63" spans="3:4" x14ac:dyDescent="0.2">
      <c r="C63">
        <f t="shared" ca="1" si="0"/>
        <v>79</v>
      </c>
      <c r="D63">
        <f t="shared" ca="1" si="1"/>
        <v>54</v>
      </c>
    </row>
    <row r="64" spans="3:4" x14ac:dyDescent="0.2">
      <c r="C64">
        <f t="shared" ca="1" si="0"/>
        <v>72</v>
      </c>
      <c r="D64">
        <f t="shared" ca="1" si="1"/>
        <v>61</v>
      </c>
    </row>
    <row r="65" spans="3:4" x14ac:dyDescent="0.2">
      <c r="C65">
        <f t="shared" ca="1" si="0"/>
        <v>90</v>
      </c>
      <c r="D65">
        <f t="shared" ca="1" si="1"/>
        <v>55</v>
      </c>
    </row>
    <row r="66" spans="3:4" x14ac:dyDescent="0.2">
      <c r="C66">
        <f t="shared" ca="1" si="0"/>
        <v>51</v>
      </c>
      <c r="D66">
        <f t="shared" ca="1" si="1"/>
        <v>55</v>
      </c>
    </row>
    <row r="67" spans="3:4" x14ac:dyDescent="0.2">
      <c r="C67">
        <f t="shared" ref="C67:C130" ca="1" si="2">RANDBETWEEN(0, 100)</f>
        <v>63</v>
      </c>
      <c r="D67">
        <f t="shared" ref="D67:D130" ca="1" si="3">RANDBETWEEN(54, 68)</f>
        <v>64</v>
      </c>
    </row>
    <row r="68" spans="3:4" x14ac:dyDescent="0.2">
      <c r="C68">
        <f t="shared" ca="1" si="2"/>
        <v>78</v>
      </c>
      <c r="D68">
        <f t="shared" ca="1" si="3"/>
        <v>62</v>
      </c>
    </row>
    <row r="69" spans="3:4" x14ac:dyDescent="0.2">
      <c r="C69">
        <f t="shared" ca="1" si="2"/>
        <v>23</v>
      </c>
      <c r="D69">
        <f t="shared" ca="1" si="3"/>
        <v>60</v>
      </c>
    </row>
    <row r="70" spans="3:4" x14ac:dyDescent="0.2">
      <c r="C70">
        <f t="shared" ca="1" si="2"/>
        <v>44</v>
      </c>
      <c r="D70">
        <f t="shared" ca="1" si="3"/>
        <v>67</v>
      </c>
    </row>
    <row r="71" spans="3:4" x14ac:dyDescent="0.2">
      <c r="C71">
        <f t="shared" ca="1" si="2"/>
        <v>23</v>
      </c>
      <c r="D71">
        <f t="shared" ca="1" si="3"/>
        <v>68</v>
      </c>
    </row>
    <row r="72" spans="3:4" x14ac:dyDescent="0.2">
      <c r="C72">
        <f t="shared" ca="1" si="2"/>
        <v>99</v>
      </c>
      <c r="D72">
        <f t="shared" ca="1" si="3"/>
        <v>54</v>
      </c>
    </row>
    <row r="73" spans="3:4" x14ac:dyDescent="0.2">
      <c r="C73">
        <f t="shared" ca="1" si="2"/>
        <v>12</v>
      </c>
      <c r="D73">
        <f t="shared" ca="1" si="3"/>
        <v>56</v>
      </c>
    </row>
    <row r="74" spans="3:4" x14ac:dyDescent="0.2">
      <c r="C74">
        <f t="shared" ca="1" si="2"/>
        <v>2</v>
      </c>
      <c r="D74">
        <f t="shared" ca="1" si="3"/>
        <v>54</v>
      </c>
    </row>
    <row r="75" spans="3:4" x14ac:dyDescent="0.2">
      <c r="C75">
        <f t="shared" ca="1" si="2"/>
        <v>87</v>
      </c>
      <c r="D75">
        <f t="shared" ca="1" si="3"/>
        <v>57</v>
      </c>
    </row>
    <row r="76" spans="3:4" x14ac:dyDescent="0.2">
      <c r="C76">
        <f t="shared" ca="1" si="2"/>
        <v>97</v>
      </c>
      <c r="D76">
        <f t="shared" ca="1" si="3"/>
        <v>62</v>
      </c>
    </row>
    <row r="77" spans="3:4" x14ac:dyDescent="0.2">
      <c r="C77">
        <f t="shared" ca="1" si="2"/>
        <v>18</v>
      </c>
      <c r="D77">
        <f t="shared" ca="1" si="3"/>
        <v>63</v>
      </c>
    </row>
    <row r="78" spans="3:4" x14ac:dyDescent="0.2">
      <c r="C78">
        <f t="shared" ca="1" si="2"/>
        <v>25</v>
      </c>
      <c r="D78">
        <f t="shared" ca="1" si="3"/>
        <v>66</v>
      </c>
    </row>
    <row r="79" spans="3:4" x14ac:dyDescent="0.2">
      <c r="C79">
        <f t="shared" ca="1" si="2"/>
        <v>34</v>
      </c>
      <c r="D79">
        <f t="shared" ca="1" si="3"/>
        <v>67</v>
      </c>
    </row>
    <row r="80" spans="3:4" x14ac:dyDescent="0.2">
      <c r="C80">
        <f t="shared" ca="1" si="2"/>
        <v>65</v>
      </c>
      <c r="D80">
        <f t="shared" ca="1" si="3"/>
        <v>54</v>
      </c>
    </row>
    <row r="81" spans="3:4" x14ac:dyDescent="0.2">
      <c r="C81">
        <f t="shared" ca="1" si="2"/>
        <v>25</v>
      </c>
      <c r="D81">
        <f t="shared" ca="1" si="3"/>
        <v>62</v>
      </c>
    </row>
    <row r="82" spans="3:4" x14ac:dyDescent="0.2">
      <c r="C82">
        <f t="shared" ca="1" si="2"/>
        <v>61</v>
      </c>
      <c r="D82">
        <f t="shared" ca="1" si="3"/>
        <v>58</v>
      </c>
    </row>
    <row r="83" spans="3:4" x14ac:dyDescent="0.2">
      <c r="C83">
        <f t="shared" ca="1" si="2"/>
        <v>90</v>
      </c>
      <c r="D83">
        <f t="shared" ca="1" si="3"/>
        <v>56</v>
      </c>
    </row>
    <row r="84" spans="3:4" x14ac:dyDescent="0.2">
      <c r="C84">
        <f t="shared" ca="1" si="2"/>
        <v>28</v>
      </c>
      <c r="D84">
        <f t="shared" ca="1" si="3"/>
        <v>57</v>
      </c>
    </row>
    <row r="85" spans="3:4" x14ac:dyDescent="0.2">
      <c r="C85">
        <f t="shared" ca="1" si="2"/>
        <v>84</v>
      </c>
      <c r="D85">
        <f t="shared" ca="1" si="3"/>
        <v>55</v>
      </c>
    </row>
    <row r="86" spans="3:4" x14ac:dyDescent="0.2">
      <c r="C86">
        <f t="shared" ca="1" si="2"/>
        <v>1</v>
      </c>
      <c r="D86">
        <f t="shared" ca="1" si="3"/>
        <v>65</v>
      </c>
    </row>
    <row r="87" spans="3:4" x14ac:dyDescent="0.2">
      <c r="C87">
        <f t="shared" ca="1" si="2"/>
        <v>84</v>
      </c>
      <c r="D87">
        <f t="shared" ca="1" si="3"/>
        <v>57</v>
      </c>
    </row>
    <row r="88" spans="3:4" x14ac:dyDescent="0.2">
      <c r="C88">
        <f t="shared" ca="1" si="2"/>
        <v>53</v>
      </c>
      <c r="D88">
        <f t="shared" ca="1" si="3"/>
        <v>67</v>
      </c>
    </row>
    <row r="89" spans="3:4" x14ac:dyDescent="0.2">
      <c r="C89">
        <f t="shared" ca="1" si="2"/>
        <v>39</v>
      </c>
      <c r="D89">
        <f t="shared" ca="1" si="3"/>
        <v>60</v>
      </c>
    </row>
    <row r="90" spans="3:4" x14ac:dyDescent="0.2">
      <c r="C90">
        <f t="shared" ca="1" si="2"/>
        <v>29</v>
      </c>
      <c r="D90">
        <f t="shared" ca="1" si="3"/>
        <v>68</v>
      </c>
    </row>
    <row r="91" spans="3:4" x14ac:dyDescent="0.2">
      <c r="C91">
        <f t="shared" ca="1" si="2"/>
        <v>22</v>
      </c>
      <c r="D91">
        <f t="shared" ca="1" si="3"/>
        <v>62</v>
      </c>
    </row>
    <row r="92" spans="3:4" x14ac:dyDescent="0.2">
      <c r="C92">
        <f t="shared" ca="1" si="2"/>
        <v>14</v>
      </c>
      <c r="D92">
        <f t="shared" ca="1" si="3"/>
        <v>63</v>
      </c>
    </row>
    <row r="93" spans="3:4" x14ac:dyDescent="0.2">
      <c r="C93">
        <f t="shared" ca="1" si="2"/>
        <v>83</v>
      </c>
      <c r="D93">
        <f t="shared" ca="1" si="3"/>
        <v>65</v>
      </c>
    </row>
    <row r="94" spans="3:4" x14ac:dyDescent="0.2">
      <c r="C94">
        <f t="shared" ca="1" si="2"/>
        <v>55</v>
      </c>
      <c r="D94">
        <f t="shared" ca="1" si="3"/>
        <v>65</v>
      </c>
    </row>
    <row r="95" spans="3:4" x14ac:dyDescent="0.2">
      <c r="C95">
        <f t="shared" ca="1" si="2"/>
        <v>89</v>
      </c>
      <c r="D95">
        <f t="shared" ca="1" si="3"/>
        <v>55</v>
      </c>
    </row>
    <row r="96" spans="3:4" x14ac:dyDescent="0.2">
      <c r="C96">
        <f t="shared" ca="1" si="2"/>
        <v>73</v>
      </c>
      <c r="D96">
        <f t="shared" ca="1" si="3"/>
        <v>61</v>
      </c>
    </row>
    <row r="97" spans="3:4" x14ac:dyDescent="0.2">
      <c r="C97">
        <f t="shared" ca="1" si="2"/>
        <v>19</v>
      </c>
      <c r="D97">
        <f t="shared" ca="1" si="3"/>
        <v>55</v>
      </c>
    </row>
    <row r="98" spans="3:4" x14ac:dyDescent="0.2">
      <c r="C98">
        <f t="shared" ca="1" si="2"/>
        <v>47</v>
      </c>
      <c r="D98">
        <f t="shared" ca="1" si="3"/>
        <v>55</v>
      </c>
    </row>
    <row r="99" spans="3:4" x14ac:dyDescent="0.2">
      <c r="C99">
        <f t="shared" ca="1" si="2"/>
        <v>27</v>
      </c>
      <c r="D99">
        <f t="shared" ca="1" si="3"/>
        <v>65</v>
      </c>
    </row>
    <row r="100" spans="3:4" x14ac:dyDescent="0.2">
      <c r="C100">
        <f t="shared" ca="1" si="2"/>
        <v>82</v>
      </c>
      <c r="D100">
        <f t="shared" ca="1" si="3"/>
        <v>55</v>
      </c>
    </row>
    <row r="101" spans="3:4" x14ac:dyDescent="0.2">
      <c r="C101">
        <f t="shared" ca="1" si="2"/>
        <v>79</v>
      </c>
      <c r="D101">
        <f t="shared" ca="1" si="3"/>
        <v>58</v>
      </c>
    </row>
    <row r="102" spans="3:4" x14ac:dyDescent="0.2">
      <c r="C102">
        <f t="shared" ca="1" si="2"/>
        <v>29</v>
      </c>
      <c r="D102">
        <f t="shared" ca="1" si="3"/>
        <v>59</v>
      </c>
    </row>
    <row r="103" spans="3:4" x14ac:dyDescent="0.2">
      <c r="C103">
        <f t="shared" ca="1" si="2"/>
        <v>65</v>
      </c>
      <c r="D103">
        <f t="shared" ca="1" si="3"/>
        <v>55</v>
      </c>
    </row>
    <row r="104" spans="3:4" x14ac:dyDescent="0.2">
      <c r="C104">
        <f t="shared" ca="1" si="2"/>
        <v>45</v>
      </c>
      <c r="D104">
        <f t="shared" ca="1" si="3"/>
        <v>55</v>
      </c>
    </row>
    <row r="105" spans="3:4" x14ac:dyDescent="0.2">
      <c r="C105">
        <f t="shared" ca="1" si="2"/>
        <v>25</v>
      </c>
      <c r="D105">
        <f t="shared" ca="1" si="3"/>
        <v>61</v>
      </c>
    </row>
    <row r="106" spans="3:4" x14ac:dyDescent="0.2">
      <c r="C106">
        <f t="shared" ca="1" si="2"/>
        <v>18</v>
      </c>
      <c r="D106">
        <f t="shared" ca="1" si="3"/>
        <v>60</v>
      </c>
    </row>
    <row r="107" spans="3:4" x14ac:dyDescent="0.2">
      <c r="C107">
        <f t="shared" ca="1" si="2"/>
        <v>10</v>
      </c>
      <c r="D107">
        <f t="shared" ca="1" si="3"/>
        <v>63</v>
      </c>
    </row>
    <row r="108" spans="3:4" x14ac:dyDescent="0.2">
      <c r="C108">
        <f t="shared" ca="1" si="2"/>
        <v>41</v>
      </c>
      <c r="D108">
        <f t="shared" ca="1" si="3"/>
        <v>55</v>
      </c>
    </row>
    <row r="109" spans="3:4" x14ac:dyDescent="0.2">
      <c r="C109">
        <f t="shared" ca="1" si="2"/>
        <v>77</v>
      </c>
      <c r="D109">
        <f t="shared" ca="1" si="3"/>
        <v>65</v>
      </c>
    </row>
    <row r="110" spans="3:4" x14ac:dyDescent="0.2">
      <c r="C110">
        <f t="shared" ca="1" si="2"/>
        <v>69</v>
      </c>
      <c r="D110">
        <f t="shared" ca="1" si="3"/>
        <v>56</v>
      </c>
    </row>
    <row r="111" spans="3:4" x14ac:dyDescent="0.2">
      <c r="C111">
        <f t="shared" ca="1" si="2"/>
        <v>96</v>
      </c>
      <c r="D111">
        <f t="shared" ca="1" si="3"/>
        <v>64</v>
      </c>
    </row>
    <row r="112" spans="3:4" x14ac:dyDescent="0.2">
      <c r="C112">
        <f t="shared" ca="1" si="2"/>
        <v>92</v>
      </c>
      <c r="D112">
        <f t="shared" ca="1" si="3"/>
        <v>65</v>
      </c>
    </row>
    <row r="113" spans="3:4" x14ac:dyDescent="0.2">
      <c r="C113">
        <f t="shared" ca="1" si="2"/>
        <v>41</v>
      </c>
      <c r="D113">
        <f t="shared" ca="1" si="3"/>
        <v>62</v>
      </c>
    </row>
    <row r="114" spans="3:4" x14ac:dyDescent="0.2">
      <c r="C114">
        <f t="shared" ca="1" si="2"/>
        <v>34</v>
      </c>
      <c r="D114">
        <f t="shared" ca="1" si="3"/>
        <v>67</v>
      </c>
    </row>
    <row r="115" spans="3:4" x14ac:dyDescent="0.2">
      <c r="C115">
        <f t="shared" ca="1" si="2"/>
        <v>62</v>
      </c>
      <c r="D115">
        <f t="shared" ca="1" si="3"/>
        <v>57</v>
      </c>
    </row>
    <row r="116" spans="3:4" x14ac:dyDescent="0.2">
      <c r="C116">
        <f t="shared" ca="1" si="2"/>
        <v>41</v>
      </c>
      <c r="D116">
        <f t="shared" ca="1" si="3"/>
        <v>66</v>
      </c>
    </row>
    <row r="117" spans="3:4" x14ac:dyDescent="0.2">
      <c r="C117">
        <f t="shared" ca="1" si="2"/>
        <v>2</v>
      </c>
      <c r="D117">
        <f t="shared" ca="1" si="3"/>
        <v>64</v>
      </c>
    </row>
    <row r="118" spans="3:4" x14ac:dyDescent="0.2">
      <c r="C118">
        <f t="shared" ca="1" si="2"/>
        <v>59</v>
      </c>
      <c r="D118">
        <f t="shared" ca="1" si="3"/>
        <v>61</v>
      </c>
    </row>
    <row r="119" spans="3:4" x14ac:dyDescent="0.2">
      <c r="C119">
        <f t="shared" ca="1" si="2"/>
        <v>15</v>
      </c>
      <c r="D119">
        <f t="shared" ca="1" si="3"/>
        <v>66</v>
      </c>
    </row>
    <row r="120" spans="3:4" x14ac:dyDescent="0.2">
      <c r="C120">
        <f t="shared" ca="1" si="2"/>
        <v>43</v>
      </c>
      <c r="D120">
        <f t="shared" ca="1" si="3"/>
        <v>65</v>
      </c>
    </row>
    <row r="121" spans="3:4" x14ac:dyDescent="0.2">
      <c r="C121">
        <f t="shared" ca="1" si="2"/>
        <v>68</v>
      </c>
      <c r="D121">
        <f t="shared" ca="1" si="3"/>
        <v>55</v>
      </c>
    </row>
    <row r="122" spans="3:4" x14ac:dyDescent="0.2">
      <c r="C122">
        <f t="shared" ca="1" si="2"/>
        <v>71</v>
      </c>
      <c r="D122">
        <f t="shared" ca="1" si="3"/>
        <v>57</v>
      </c>
    </row>
    <row r="123" spans="3:4" x14ac:dyDescent="0.2">
      <c r="C123">
        <f t="shared" ca="1" si="2"/>
        <v>23</v>
      </c>
      <c r="D123">
        <f t="shared" ca="1" si="3"/>
        <v>65</v>
      </c>
    </row>
    <row r="124" spans="3:4" x14ac:dyDescent="0.2">
      <c r="C124">
        <f t="shared" ca="1" si="2"/>
        <v>15</v>
      </c>
      <c r="D124">
        <f t="shared" ca="1" si="3"/>
        <v>68</v>
      </c>
    </row>
    <row r="125" spans="3:4" x14ac:dyDescent="0.2">
      <c r="C125">
        <f t="shared" ca="1" si="2"/>
        <v>24</v>
      </c>
      <c r="D125">
        <f t="shared" ca="1" si="3"/>
        <v>57</v>
      </c>
    </row>
    <row r="126" spans="3:4" x14ac:dyDescent="0.2">
      <c r="C126">
        <f t="shared" ca="1" si="2"/>
        <v>36</v>
      </c>
      <c r="D126">
        <f t="shared" ca="1" si="3"/>
        <v>64</v>
      </c>
    </row>
    <row r="127" spans="3:4" x14ac:dyDescent="0.2">
      <c r="C127">
        <f t="shared" ca="1" si="2"/>
        <v>39</v>
      </c>
      <c r="D127">
        <f t="shared" ca="1" si="3"/>
        <v>60</v>
      </c>
    </row>
    <row r="128" spans="3:4" x14ac:dyDescent="0.2">
      <c r="C128">
        <f t="shared" ca="1" si="2"/>
        <v>82</v>
      </c>
      <c r="D128">
        <f t="shared" ca="1" si="3"/>
        <v>68</v>
      </c>
    </row>
    <row r="129" spans="3:4" x14ac:dyDescent="0.2">
      <c r="C129">
        <f t="shared" ca="1" si="2"/>
        <v>46</v>
      </c>
      <c r="D129">
        <f t="shared" ca="1" si="3"/>
        <v>60</v>
      </c>
    </row>
    <row r="130" spans="3:4" x14ac:dyDescent="0.2">
      <c r="C130">
        <f t="shared" ca="1" si="2"/>
        <v>94</v>
      </c>
      <c r="D130">
        <f t="shared" ca="1" si="3"/>
        <v>55</v>
      </c>
    </row>
    <row r="131" spans="3:4" x14ac:dyDescent="0.2">
      <c r="C131">
        <f t="shared" ref="C131:C194" ca="1" si="4">RANDBETWEEN(0, 100)</f>
        <v>14</v>
      </c>
      <c r="D131">
        <f t="shared" ref="D131:D194" ca="1" si="5">RANDBETWEEN(54, 68)</f>
        <v>66</v>
      </c>
    </row>
    <row r="132" spans="3:4" x14ac:dyDescent="0.2">
      <c r="C132">
        <f t="shared" ca="1" si="4"/>
        <v>14</v>
      </c>
      <c r="D132">
        <f t="shared" ca="1" si="5"/>
        <v>67</v>
      </c>
    </row>
    <row r="133" spans="3:4" x14ac:dyDescent="0.2">
      <c r="C133">
        <f t="shared" ca="1" si="4"/>
        <v>76</v>
      </c>
      <c r="D133">
        <f t="shared" ca="1" si="5"/>
        <v>66</v>
      </c>
    </row>
    <row r="134" spans="3:4" x14ac:dyDescent="0.2">
      <c r="C134">
        <f t="shared" ca="1" si="4"/>
        <v>28</v>
      </c>
      <c r="D134">
        <f t="shared" ca="1" si="5"/>
        <v>56</v>
      </c>
    </row>
    <row r="135" spans="3:4" x14ac:dyDescent="0.2">
      <c r="C135">
        <f t="shared" ca="1" si="4"/>
        <v>41</v>
      </c>
      <c r="D135">
        <f t="shared" ca="1" si="5"/>
        <v>61</v>
      </c>
    </row>
    <row r="136" spans="3:4" x14ac:dyDescent="0.2">
      <c r="C136">
        <f t="shared" ca="1" si="4"/>
        <v>1</v>
      </c>
      <c r="D136">
        <f t="shared" ca="1" si="5"/>
        <v>66</v>
      </c>
    </row>
    <row r="137" spans="3:4" x14ac:dyDescent="0.2">
      <c r="C137">
        <f t="shared" ca="1" si="4"/>
        <v>20</v>
      </c>
      <c r="D137">
        <f t="shared" ca="1" si="5"/>
        <v>60</v>
      </c>
    </row>
    <row r="138" spans="3:4" x14ac:dyDescent="0.2">
      <c r="C138">
        <f t="shared" ca="1" si="4"/>
        <v>43</v>
      </c>
      <c r="D138">
        <f t="shared" ca="1" si="5"/>
        <v>55</v>
      </c>
    </row>
    <row r="139" spans="3:4" x14ac:dyDescent="0.2">
      <c r="C139">
        <f t="shared" ca="1" si="4"/>
        <v>47</v>
      </c>
      <c r="D139">
        <f t="shared" ca="1" si="5"/>
        <v>55</v>
      </c>
    </row>
    <row r="140" spans="3:4" x14ac:dyDescent="0.2">
      <c r="C140">
        <f t="shared" ca="1" si="4"/>
        <v>58</v>
      </c>
      <c r="D140">
        <f t="shared" ca="1" si="5"/>
        <v>64</v>
      </c>
    </row>
    <row r="141" spans="3:4" x14ac:dyDescent="0.2">
      <c r="C141">
        <f t="shared" ca="1" si="4"/>
        <v>8</v>
      </c>
      <c r="D141">
        <f t="shared" ca="1" si="5"/>
        <v>65</v>
      </c>
    </row>
    <row r="142" spans="3:4" x14ac:dyDescent="0.2">
      <c r="C142">
        <f t="shared" ca="1" si="4"/>
        <v>61</v>
      </c>
      <c r="D142">
        <f t="shared" ca="1" si="5"/>
        <v>60</v>
      </c>
    </row>
    <row r="143" spans="3:4" x14ac:dyDescent="0.2">
      <c r="C143">
        <f t="shared" ca="1" si="4"/>
        <v>2</v>
      </c>
      <c r="D143">
        <f t="shared" ca="1" si="5"/>
        <v>59</v>
      </c>
    </row>
    <row r="144" spans="3:4" x14ac:dyDescent="0.2">
      <c r="C144">
        <f t="shared" ca="1" si="4"/>
        <v>97</v>
      </c>
      <c r="D144">
        <f t="shared" ca="1" si="5"/>
        <v>54</v>
      </c>
    </row>
    <row r="145" spans="3:4" x14ac:dyDescent="0.2">
      <c r="C145">
        <f t="shared" ca="1" si="4"/>
        <v>100</v>
      </c>
      <c r="D145">
        <f t="shared" ca="1" si="5"/>
        <v>57</v>
      </c>
    </row>
    <row r="146" spans="3:4" x14ac:dyDescent="0.2">
      <c r="C146">
        <f t="shared" ca="1" si="4"/>
        <v>33</v>
      </c>
      <c r="D146">
        <f t="shared" ca="1" si="5"/>
        <v>56</v>
      </c>
    </row>
    <row r="147" spans="3:4" x14ac:dyDescent="0.2">
      <c r="C147">
        <f t="shared" ca="1" si="4"/>
        <v>73</v>
      </c>
      <c r="D147">
        <f t="shared" ca="1" si="5"/>
        <v>57</v>
      </c>
    </row>
    <row r="148" spans="3:4" x14ac:dyDescent="0.2">
      <c r="C148">
        <f t="shared" ca="1" si="4"/>
        <v>25</v>
      </c>
      <c r="D148">
        <f t="shared" ca="1" si="5"/>
        <v>63</v>
      </c>
    </row>
    <row r="149" spans="3:4" x14ac:dyDescent="0.2">
      <c r="C149">
        <f t="shared" ca="1" si="4"/>
        <v>27</v>
      </c>
      <c r="D149">
        <f t="shared" ca="1" si="5"/>
        <v>68</v>
      </c>
    </row>
    <row r="150" spans="3:4" x14ac:dyDescent="0.2">
      <c r="C150">
        <f t="shared" ca="1" si="4"/>
        <v>42</v>
      </c>
      <c r="D150">
        <f t="shared" ca="1" si="5"/>
        <v>58</v>
      </c>
    </row>
    <row r="151" spans="3:4" x14ac:dyDescent="0.2">
      <c r="C151">
        <f t="shared" ca="1" si="4"/>
        <v>40</v>
      </c>
      <c r="D151">
        <f t="shared" ca="1" si="5"/>
        <v>56</v>
      </c>
    </row>
    <row r="152" spans="3:4" x14ac:dyDescent="0.2">
      <c r="C152">
        <f t="shared" ca="1" si="4"/>
        <v>80</v>
      </c>
      <c r="D152">
        <f t="shared" ca="1" si="5"/>
        <v>58</v>
      </c>
    </row>
    <row r="153" spans="3:4" x14ac:dyDescent="0.2">
      <c r="C153">
        <f t="shared" ca="1" si="4"/>
        <v>60</v>
      </c>
      <c r="D153">
        <f t="shared" ca="1" si="5"/>
        <v>66</v>
      </c>
    </row>
    <row r="154" spans="3:4" x14ac:dyDescent="0.2">
      <c r="C154">
        <f t="shared" ca="1" si="4"/>
        <v>53</v>
      </c>
      <c r="D154">
        <f t="shared" ca="1" si="5"/>
        <v>67</v>
      </c>
    </row>
    <row r="155" spans="3:4" x14ac:dyDescent="0.2">
      <c r="C155">
        <f t="shared" ca="1" si="4"/>
        <v>82</v>
      </c>
      <c r="D155">
        <f t="shared" ca="1" si="5"/>
        <v>59</v>
      </c>
    </row>
    <row r="156" spans="3:4" x14ac:dyDescent="0.2">
      <c r="C156">
        <f t="shared" ca="1" si="4"/>
        <v>64</v>
      </c>
      <c r="D156">
        <f t="shared" ca="1" si="5"/>
        <v>56</v>
      </c>
    </row>
    <row r="157" spans="3:4" x14ac:dyDescent="0.2">
      <c r="C157">
        <f t="shared" ca="1" si="4"/>
        <v>74</v>
      </c>
      <c r="D157">
        <f t="shared" ca="1" si="5"/>
        <v>67</v>
      </c>
    </row>
    <row r="158" spans="3:4" x14ac:dyDescent="0.2">
      <c r="C158">
        <f t="shared" ca="1" si="4"/>
        <v>5</v>
      </c>
      <c r="D158">
        <f t="shared" ca="1" si="5"/>
        <v>62</v>
      </c>
    </row>
    <row r="159" spans="3:4" x14ac:dyDescent="0.2">
      <c r="C159">
        <f t="shared" ca="1" si="4"/>
        <v>18</v>
      </c>
      <c r="D159">
        <f t="shared" ca="1" si="5"/>
        <v>61</v>
      </c>
    </row>
    <row r="160" spans="3:4" x14ac:dyDescent="0.2">
      <c r="C160">
        <f t="shared" ca="1" si="4"/>
        <v>28</v>
      </c>
      <c r="D160">
        <f t="shared" ca="1" si="5"/>
        <v>61</v>
      </c>
    </row>
    <row r="161" spans="3:4" x14ac:dyDescent="0.2">
      <c r="C161">
        <f t="shared" ca="1" si="4"/>
        <v>65</v>
      </c>
      <c r="D161">
        <f t="shared" ca="1" si="5"/>
        <v>60</v>
      </c>
    </row>
    <row r="162" spans="3:4" x14ac:dyDescent="0.2">
      <c r="C162">
        <f t="shared" ca="1" si="4"/>
        <v>44</v>
      </c>
      <c r="D162">
        <f t="shared" ca="1" si="5"/>
        <v>67</v>
      </c>
    </row>
    <row r="163" spans="3:4" x14ac:dyDescent="0.2">
      <c r="C163">
        <f t="shared" ca="1" si="4"/>
        <v>3</v>
      </c>
      <c r="D163">
        <f t="shared" ca="1" si="5"/>
        <v>56</v>
      </c>
    </row>
    <row r="164" spans="3:4" x14ac:dyDescent="0.2">
      <c r="C164">
        <f t="shared" ca="1" si="4"/>
        <v>77</v>
      </c>
      <c r="D164">
        <f t="shared" ca="1" si="5"/>
        <v>59</v>
      </c>
    </row>
    <row r="165" spans="3:4" x14ac:dyDescent="0.2">
      <c r="C165">
        <f t="shared" ca="1" si="4"/>
        <v>64</v>
      </c>
      <c r="D165">
        <f t="shared" ca="1" si="5"/>
        <v>68</v>
      </c>
    </row>
    <row r="166" spans="3:4" x14ac:dyDescent="0.2">
      <c r="C166">
        <f t="shared" ca="1" si="4"/>
        <v>71</v>
      </c>
      <c r="D166">
        <f t="shared" ca="1" si="5"/>
        <v>54</v>
      </c>
    </row>
    <row r="167" spans="3:4" x14ac:dyDescent="0.2">
      <c r="C167">
        <f t="shared" ca="1" si="4"/>
        <v>52</v>
      </c>
      <c r="D167">
        <f t="shared" ca="1" si="5"/>
        <v>64</v>
      </c>
    </row>
    <row r="168" spans="3:4" x14ac:dyDescent="0.2">
      <c r="C168">
        <f t="shared" ca="1" si="4"/>
        <v>20</v>
      </c>
      <c r="D168">
        <f t="shared" ca="1" si="5"/>
        <v>59</v>
      </c>
    </row>
    <row r="169" spans="3:4" x14ac:dyDescent="0.2">
      <c r="C169">
        <f t="shared" ca="1" si="4"/>
        <v>69</v>
      </c>
      <c r="D169">
        <f t="shared" ca="1" si="5"/>
        <v>56</v>
      </c>
    </row>
    <row r="170" spans="3:4" x14ac:dyDescent="0.2">
      <c r="C170">
        <f t="shared" ca="1" si="4"/>
        <v>17</v>
      </c>
      <c r="D170">
        <f t="shared" ca="1" si="5"/>
        <v>63</v>
      </c>
    </row>
    <row r="171" spans="3:4" x14ac:dyDescent="0.2">
      <c r="C171">
        <f t="shared" ca="1" si="4"/>
        <v>4</v>
      </c>
      <c r="D171">
        <f t="shared" ca="1" si="5"/>
        <v>64</v>
      </c>
    </row>
    <row r="172" spans="3:4" x14ac:dyDescent="0.2">
      <c r="C172">
        <f t="shared" ca="1" si="4"/>
        <v>58</v>
      </c>
      <c r="D172">
        <f t="shared" ca="1" si="5"/>
        <v>67</v>
      </c>
    </row>
    <row r="173" spans="3:4" x14ac:dyDescent="0.2">
      <c r="C173">
        <f t="shared" ca="1" si="4"/>
        <v>13</v>
      </c>
      <c r="D173">
        <f t="shared" ca="1" si="5"/>
        <v>67</v>
      </c>
    </row>
    <row r="174" spans="3:4" x14ac:dyDescent="0.2">
      <c r="C174">
        <f t="shared" ca="1" si="4"/>
        <v>64</v>
      </c>
      <c r="D174">
        <f t="shared" ca="1" si="5"/>
        <v>65</v>
      </c>
    </row>
    <row r="175" spans="3:4" x14ac:dyDescent="0.2">
      <c r="C175">
        <f t="shared" ca="1" si="4"/>
        <v>23</v>
      </c>
      <c r="D175">
        <f t="shared" ca="1" si="5"/>
        <v>59</v>
      </c>
    </row>
    <row r="176" spans="3:4" x14ac:dyDescent="0.2">
      <c r="C176">
        <f t="shared" ca="1" si="4"/>
        <v>74</v>
      </c>
      <c r="D176">
        <f t="shared" ca="1" si="5"/>
        <v>56</v>
      </c>
    </row>
    <row r="177" spans="3:4" x14ac:dyDescent="0.2">
      <c r="C177">
        <f t="shared" ca="1" si="4"/>
        <v>7</v>
      </c>
      <c r="D177">
        <f t="shared" ca="1" si="5"/>
        <v>64</v>
      </c>
    </row>
    <row r="178" spans="3:4" x14ac:dyDescent="0.2">
      <c r="C178">
        <f t="shared" ca="1" si="4"/>
        <v>42</v>
      </c>
      <c r="D178">
        <f t="shared" ca="1" si="5"/>
        <v>57</v>
      </c>
    </row>
    <row r="179" spans="3:4" x14ac:dyDescent="0.2">
      <c r="C179">
        <f t="shared" ca="1" si="4"/>
        <v>73</v>
      </c>
      <c r="D179">
        <f t="shared" ca="1" si="5"/>
        <v>59</v>
      </c>
    </row>
    <row r="180" spans="3:4" x14ac:dyDescent="0.2">
      <c r="C180">
        <f t="shared" ca="1" si="4"/>
        <v>89</v>
      </c>
      <c r="D180">
        <f t="shared" ca="1" si="5"/>
        <v>63</v>
      </c>
    </row>
    <row r="181" spans="3:4" x14ac:dyDescent="0.2">
      <c r="C181">
        <f t="shared" ca="1" si="4"/>
        <v>37</v>
      </c>
      <c r="D181">
        <f t="shared" ca="1" si="5"/>
        <v>55</v>
      </c>
    </row>
    <row r="182" spans="3:4" x14ac:dyDescent="0.2">
      <c r="C182">
        <f t="shared" ca="1" si="4"/>
        <v>45</v>
      </c>
      <c r="D182">
        <f t="shared" ca="1" si="5"/>
        <v>60</v>
      </c>
    </row>
    <row r="183" spans="3:4" x14ac:dyDescent="0.2">
      <c r="C183">
        <f t="shared" ca="1" si="4"/>
        <v>77</v>
      </c>
      <c r="D183">
        <f t="shared" ca="1" si="5"/>
        <v>59</v>
      </c>
    </row>
    <row r="184" spans="3:4" x14ac:dyDescent="0.2">
      <c r="C184">
        <f t="shared" ca="1" si="4"/>
        <v>15</v>
      </c>
      <c r="D184">
        <f t="shared" ca="1" si="5"/>
        <v>65</v>
      </c>
    </row>
    <row r="185" spans="3:4" x14ac:dyDescent="0.2">
      <c r="C185">
        <f t="shared" ca="1" si="4"/>
        <v>74</v>
      </c>
      <c r="D185">
        <f t="shared" ca="1" si="5"/>
        <v>58</v>
      </c>
    </row>
    <row r="186" spans="3:4" x14ac:dyDescent="0.2">
      <c r="C186">
        <f t="shared" ca="1" si="4"/>
        <v>59</v>
      </c>
      <c r="D186">
        <f t="shared" ca="1" si="5"/>
        <v>66</v>
      </c>
    </row>
    <row r="187" spans="3:4" x14ac:dyDescent="0.2">
      <c r="C187">
        <f t="shared" ca="1" si="4"/>
        <v>12</v>
      </c>
      <c r="D187">
        <f t="shared" ca="1" si="5"/>
        <v>63</v>
      </c>
    </row>
    <row r="188" spans="3:4" x14ac:dyDescent="0.2">
      <c r="C188">
        <f t="shared" ca="1" si="4"/>
        <v>79</v>
      </c>
      <c r="D188">
        <f t="shared" ca="1" si="5"/>
        <v>62</v>
      </c>
    </row>
    <row r="189" spans="3:4" x14ac:dyDescent="0.2">
      <c r="C189">
        <f t="shared" ca="1" si="4"/>
        <v>65</v>
      </c>
      <c r="D189">
        <f t="shared" ca="1" si="5"/>
        <v>63</v>
      </c>
    </row>
    <row r="190" spans="3:4" x14ac:dyDescent="0.2">
      <c r="C190">
        <f t="shared" ca="1" si="4"/>
        <v>72</v>
      </c>
      <c r="D190">
        <f t="shared" ca="1" si="5"/>
        <v>54</v>
      </c>
    </row>
    <row r="191" spans="3:4" x14ac:dyDescent="0.2">
      <c r="C191">
        <f t="shared" ca="1" si="4"/>
        <v>35</v>
      </c>
      <c r="D191">
        <f t="shared" ca="1" si="5"/>
        <v>58</v>
      </c>
    </row>
    <row r="192" spans="3:4" x14ac:dyDescent="0.2">
      <c r="C192">
        <f t="shared" ca="1" si="4"/>
        <v>23</v>
      </c>
      <c r="D192">
        <f t="shared" ca="1" si="5"/>
        <v>54</v>
      </c>
    </row>
    <row r="193" spans="3:4" x14ac:dyDescent="0.2">
      <c r="C193">
        <f t="shared" ca="1" si="4"/>
        <v>47</v>
      </c>
      <c r="D193">
        <f t="shared" ca="1" si="5"/>
        <v>66</v>
      </c>
    </row>
    <row r="194" spans="3:4" x14ac:dyDescent="0.2">
      <c r="C194">
        <f t="shared" ca="1" si="4"/>
        <v>9</v>
      </c>
      <c r="D194">
        <f t="shared" ca="1" si="5"/>
        <v>65</v>
      </c>
    </row>
    <row r="195" spans="3:4" x14ac:dyDescent="0.2">
      <c r="C195">
        <f t="shared" ref="C195:C200" ca="1" si="6">RANDBETWEEN(0, 100)</f>
        <v>13</v>
      </c>
      <c r="D195">
        <f t="shared" ref="D195:D200" ca="1" si="7">RANDBETWEEN(54, 68)</f>
        <v>64</v>
      </c>
    </row>
    <row r="196" spans="3:4" x14ac:dyDescent="0.2">
      <c r="C196">
        <f t="shared" ca="1" si="6"/>
        <v>54</v>
      </c>
      <c r="D196">
        <f t="shared" ca="1" si="7"/>
        <v>62</v>
      </c>
    </row>
    <row r="197" spans="3:4" x14ac:dyDescent="0.2">
      <c r="C197">
        <f t="shared" ca="1" si="6"/>
        <v>96</v>
      </c>
      <c r="D197">
        <f t="shared" ca="1" si="7"/>
        <v>61</v>
      </c>
    </row>
    <row r="198" spans="3:4" x14ac:dyDescent="0.2">
      <c r="C198">
        <f t="shared" ca="1" si="6"/>
        <v>50</v>
      </c>
      <c r="D198">
        <f t="shared" ca="1" si="7"/>
        <v>56</v>
      </c>
    </row>
    <row r="199" spans="3:4" x14ac:dyDescent="0.2">
      <c r="C199">
        <f t="shared" ca="1" si="6"/>
        <v>45</v>
      </c>
      <c r="D199">
        <f t="shared" ca="1" si="7"/>
        <v>63</v>
      </c>
    </row>
    <row r="200" spans="3:4" x14ac:dyDescent="0.2">
      <c r="C200">
        <f t="shared" ca="1" si="6"/>
        <v>65</v>
      </c>
      <c r="D200">
        <f t="shared" ca="1" si="7"/>
        <v>66</v>
      </c>
    </row>
  </sheetData>
  <mergeCells count="21">
    <mergeCell ref="F41:I41"/>
    <mergeCell ref="F45:I45"/>
    <mergeCell ref="F48:I48"/>
    <mergeCell ref="F29:I29"/>
    <mergeCell ref="F32:I32"/>
    <mergeCell ref="F33:I33"/>
    <mergeCell ref="F34:I34"/>
    <mergeCell ref="F37:I37"/>
    <mergeCell ref="F40:I40"/>
    <mergeCell ref="I8:N8"/>
    <mergeCell ref="F20:I20"/>
    <mergeCell ref="F23:I23"/>
    <mergeCell ref="F24:I24"/>
    <mergeCell ref="F25:I25"/>
    <mergeCell ref="F28:I28"/>
    <mergeCell ref="I2:N2"/>
    <mergeCell ref="I3:N3"/>
    <mergeCell ref="I4:N4"/>
    <mergeCell ref="I5:N5"/>
    <mergeCell ref="I6:N6"/>
    <mergeCell ref="I7:N7"/>
  </mergeCells>
  <conditionalFormatting sqref="F47:H47">
    <cfRule type="containsText" dxfId="2" priority="1" operator="containsText" text="Red">
      <formula>NOT(ISERROR(SEARCH("Red",F47)))</formula>
    </cfRule>
    <cfRule type="containsText" dxfId="1" priority="2" operator="containsText" text="Yellow">
      <formula>NOT(ISERROR(SEARCH("Yellow",F47)))</formula>
    </cfRule>
    <cfRule type="containsText" dxfId="0" priority="3" operator="containsText" text="Green">
      <formula>NOT(ISERROR(SEARCH("Green",F47)))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7186C-2544-1A42-AA29-AEDFFBF88B21}">
  <sheetPr codeName="Sheet2"/>
  <dimension ref="B2:I19"/>
  <sheetViews>
    <sheetView tabSelected="1" workbookViewId="0">
      <selection activeCell="F20" sqref="F20"/>
    </sheetView>
  </sheetViews>
  <sheetFormatPr baseColWidth="10" defaultRowHeight="16" x14ac:dyDescent="0.2"/>
  <cols>
    <col min="4" max="4" width="13.1640625" customWidth="1"/>
    <col min="12" max="12" width="12.5" customWidth="1"/>
  </cols>
  <sheetData>
    <row r="2" spans="2:9" x14ac:dyDescent="0.2">
      <c r="B2" t="s">
        <v>56</v>
      </c>
      <c r="C2" t="s">
        <v>57</v>
      </c>
      <c r="D2" t="s">
        <v>58</v>
      </c>
    </row>
    <row r="3" spans="2:9" x14ac:dyDescent="0.2">
      <c r="B3">
        <v>10</v>
      </c>
      <c r="C3">
        <v>10</v>
      </c>
      <c r="D3">
        <v>10</v>
      </c>
      <c r="I3" t="s">
        <v>59</v>
      </c>
    </row>
    <row r="4" spans="2:9" x14ac:dyDescent="0.2">
      <c r="B4">
        <v>9</v>
      </c>
      <c r="C4">
        <v>9</v>
      </c>
      <c r="D4">
        <v>10</v>
      </c>
    </row>
    <row r="5" spans="2:9" x14ac:dyDescent="0.2">
      <c r="B5">
        <v>8</v>
      </c>
      <c r="C5">
        <v>8</v>
      </c>
      <c r="D5">
        <v>10</v>
      </c>
    </row>
    <row r="6" spans="2:9" x14ac:dyDescent="0.2">
      <c r="B6">
        <v>7</v>
      </c>
      <c r="C6">
        <v>7</v>
      </c>
      <c r="D6">
        <v>10</v>
      </c>
    </row>
    <row r="7" spans="2:9" x14ac:dyDescent="0.2">
      <c r="B7">
        <v>6</v>
      </c>
      <c r="C7">
        <v>6</v>
      </c>
      <c r="D7">
        <v>10</v>
      </c>
    </row>
    <row r="8" spans="2:9" x14ac:dyDescent="0.2">
      <c r="B8">
        <v>5</v>
      </c>
      <c r="C8">
        <v>5</v>
      </c>
      <c r="D8">
        <v>10</v>
      </c>
    </row>
    <row r="9" spans="2:9" x14ac:dyDescent="0.2">
      <c r="B9">
        <v>4</v>
      </c>
      <c r="C9">
        <v>4</v>
      </c>
      <c r="D9">
        <v>10</v>
      </c>
    </row>
    <row r="10" spans="2:9" x14ac:dyDescent="0.2">
      <c r="B10">
        <v>3</v>
      </c>
      <c r="C10">
        <v>3</v>
      </c>
      <c r="D10">
        <v>10</v>
      </c>
    </row>
    <row r="11" spans="2:9" x14ac:dyDescent="0.2">
      <c r="B11">
        <v>2</v>
      </c>
      <c r="C11">
        <v>2</v>
      </c>
      <c r="D11">
        <v>10</v>
      </c>
    </row>
    <row r="12" spans="2:9" x14ac:dyDescent="0.2">
      <c r="B12">
        <v>1</v>
      </c>
      <c r="C12">
        <v>1</v>
      </c>
      <c r="D12">
        <v>10</v>
      </c>
    </row>
    <row r="14" spans="2:9" x14ac:dyDescent="0.2">
      <c r="B14">
        <v>55</v>
      </c>
    </row>
    <row r="15" spans="2:9" x14ac:dyDescent="0.2">
      <c r="B15">
        <v>10</v>
      </c>
    </row>
    <row r="16" spans="2:9" x14ac:dyDescent="0.2">
      <c r="B16">
        <v>1</v>
      </c>
    </row>
    <row r="18" spans="2:2" x14ac:dyDescent="0.2">
      <c r="B18">
        <v>19</v>
      </c>
    </row>
    <row r="19" spans="2:2" x14ac:dyDescent="0.2">
      <c r="B19">
        <v>20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Notes">
                <anchor moveWithCells="1" sizeWithCells="1">
                  <from>
                    <xdr:col>5</xdr:col>
                    <xdr:colOff>12700</xdr:colOff>
                    <xdr:row>2</xdr:row>
                    <xdr:rowOff>25400</xdr:rowOff>
                  </from>
                  <to>
                    <xdr:col>6</xdr:col>
                    <xdr:colOff>711200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Reset">
                <anchor moveWithCells="1" sizeWithCells="1">
                  <from>
                    <xdr:col>5</xdr:col>
                    <xdr:colOff>12700</xdr:colOff>
                    <xdr:row>5</xdr:row>
                    <xdr:rowOff>12700</xdr:rowOff>
                  </from>
                  <to>
                    <xdr:col>6</xdr:col>
                    <xdr:colOff>711200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Excel Notes</vt:lpstr>
      <vt:lpstr>VBA Notes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 Donoho</dc:creator>
  <cp:lastModifiedBy>Ethan Donoho</cp:lastModifiedBy>
  <dcterms:created xsi:type="dcterms:W3CDTF">2024-10-10T02:47:39Z</dcterms:created>
  <dcterms:modified xsi:type="dcterms:W3CDTF">2024-10-10T02:54:07Z</dcterms:modified>
</cp:coreProperties>
</file>